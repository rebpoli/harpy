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wsl.localhost\Ubuntu\home\renato\lm23_hdd\harpy\demos\VALIDATE\01-POIATE\poiate_data\"/>
    </mc:Choice>
  </mc:AlternateContent>
  <xr:revisionPtr revIDLastSave="0" documentId="13_ncr:1_{C7B4FAFC-BF99-44FF-8F76-F3DF97B334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IATE" sheetId="1" r:id="rId1"/>
    <sheet name="KUMAR" sheetId="2" r:id="rId2"/>
    <sheet name="CART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9" i="2"/>
  <c r="B29" i="1"/>
  <c r="B23" i="1"/>
  <c r="B28" i="1"/>
  <c r="D13" i="1"/>
  <c r="D10" i="1"/>
  <c r="D11" i="1"/>
  <c r="D12" i="1"/>
  <c r="D9" i="1"/>
  <c r="D7" i="1"/>
  <c r="D8" i="1"/>
  <c r="D6" i="1"/>
  <c r="B19" i="1"/>
  <c r="C7" i="1"/>
  <c r="C8" i="1"/>
  <c r="C9" i="1"/>
  <c r="C10" i="1"/>
  <c r="C11" i="1"/>
  <c r="C12" i="1"/>
  <c r="C13" i="1"/>
  <c r="C6" i="1"/>
</calcChain>
</file>

<file path=xl/sharedStrings.xml><?xml version="1.0" encoding="utf-8"?>
<sst xmlns="http://schemas.openxmlformats.org/spreadsheetml/2006/main" count="37" uniqueCount="28">
  <si>
    <t>1/h</t>
  </si>
  <si>
    <t>1/s</t>
  </si>
  <si>
    <t>T</t>
  </si>
  <si>
    <t>C</t>
  </si>
  <si>
    <t>K</t>
  </si>
  <si>
    <t>R</t>
  </si>
  <si>
    <t>Q</t>
  </si>
  <si>
    <t>A</t>
  </si>
  <si>
    <t>sig0</t>
  </si>
  <si>
    <t>Mpa</t>
  </si>
  <si>
    <t>deviatoric (Mpa)</t>
  </si>
  <si>
    <t>n</t>
  </si>
  <si>
    <t>n1</t>
  </si>
  <si>
    <t>n2</t>
  </si>
  <si>
    <t>exp(-Q/RT)</t>
  </si>
  <si>
    <t>eps0</t>
  </si>
  <si>
    <t>J/mol</t>
  </si>
  <si>
    <t>/h</t>
  </si>
  <si>
    <t>/s</t>
  </si>
  <si>
    <t>eps (1/h)</t>
  </si>
  <si>
    <t>N</t>
  </si>
  <si>
    <t>Assumption</t>
  </si>
  <si>
    <t>sig_0</t>
  </si>
  <si>
    <t>Pa</t>
  </si>
  <si>
    <t>ASSUMTION</t>
  </si>
  <si>
    <t>POIATE,2012</t>
  </si>
  <si>
    <t>kumar,2021</t>
  </si>
  <si>
    <t>Carter, 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</si>
</sst>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POIATE!$B$5</c:f>
              <c:strCache>
                <c:ptCount val="1"/>
                <c:pt idx="0">
                  <c:v>1/h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POIATE!$A$6:$A$13</c:f>
              <c:numCache>
                <c:formatCode>0</c:formatCode>
                <c:ptCount val="8"/>
                <c:pt idx="0">
                  <c:v>6.03590858666605</c:v>
                </c:pt>
                <c:pt idx="1">
                  <c:v>8.0715388551660592</c:v>
                </c:pt>
                <c:pt idx="2">
                  <c:v>9.0477143827209403</c:v>
                </c:pt>
                <c:pt idx="3">
                  <c:v>9.9833313045617391</c:v>
                </c:pt>
                <c:pt idx="4">
                  <c:v>11.842873110958701</c:v>
                </c:pt>
                <c:pt idx="5">
                  <c:v>13.9758704983716</c:v>
                </c:pt>
                <c:pt idx="6">
                  <c:v>15.987798933640301</c:v>
                </c:pt>
                <c:pt idx="7">
                  <c:v>20.084229967379201</c:v>
                </c:pt>
              </c:numCache>
            </c:numRef>
          </c:xVal>
          <c:yVal>
            <c:numRef>
              <c:f>POIATE!$B$6:$B$13</c:f>
              <c:numCache>
                <c:formatCode>0.00E+00</c:formatCode>
                <c:ptCount val="8"/>
                <c:pt idx="0">
                  <c:v>3.34208481563098E-7</c:v>
                </c:pt>
                <c:pt idx="1">
                  <c:v>7.4707197575822101E-7</c:v>
                </c:pt>
                <c:pt idx="2">
                  <c:v>1.03062443921871E-6</c:v>
                </c:pt>
                <c:pt idx="3" formatCode="General">
                  <c:v>1.9223957371358201E-6</c:v>
                </c:pt>
                <c:pt idx="4" formatCode="General">
                  <c:v>6.8243475330731002E-6</c:v>
                </c:pt>
                <c:pt idx="5" formatCode="General">
                  <c:v>2.4470694106737799E-5</c:v>
                </c:pt>
                <c:pt idx="6" formatCode="General">
                  <c:v>7.6995063607183205E-5</c:v>
                </c:pt>
                <c:pt idx="7" formatCode="General">
                  <c:v>2.19084349139114E-4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0D-4AC5-B06B-08DFB7A6EA91}"/>
            </c:ext>
          </c:extLst>
        </c:ser>
        <c:ser>
          <c:idx val="1"/>
          <c:order val="1"/>
          <c:tx>
            <c:strRef>
              <c:f>POIATE!$D$5</c:f>
              <c:strCache>
                <c:ptCount val="1"/>
                <c:pt idx="0">
                  <c:v>eps (1/h)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POIATE!$A$6:$A$13</c:f>
              <c:numCache>
                <c:formatCode>0</c:formatCode>
                <c:ptCount val="8"/>
                <c:pt idx="0">
                  <c:v>6.03590858666605</c:v>
                </c:pt>
                <c:pt idx="1">
                  <c:v>8.0715388551660592</c:v>
                </c:pt>
                <c:pt idx="2">
                  <c:v>9.0477143827209403</c:v>
                </c:pt>
                <c:pt idx="3">
                  <c:v>9.9833313045617391</c:v>
                </c:pt>
                <c:pt idx="4">
                  <c:v>11.842873110958701</c:v>
                </c:pt>
                <c:pt idx="5">
                  <c:v>13.9758704983716</c:v>
                </c:pt>
                <c:pt idx="6">
                  <c:v>15.987798933640301</c:v>
                </c:pt>
                <c:pt idx="7">
                  <c:v>20.084229967379201</c:v>
                </c:pt>
              </c:numCache>
            </c:numRef>
          </c:xVal>
          <c:yVal>
            <c:numRef>
              <c:f>POIATE!$D$6:$D$13</c:f>
              <c:numCache>
                <c:formatCode>General</c:formatCode>
                <c:ptCount val="8"/>
                <c:pt idx="0">
                  <c:v>3.5685339072165506E-7</c:v>
                </c:pt>
                <c:pt idx="1">
                  <c:v>9.474751300036302E-7</c:v>
                </c:pt>
                <c:pt idx="2">
                  <c:v>1.3904813098184745E-6</c:v>
                </c:pt>
                <c:pt idx="3">
                  <c:v>1.996070153781868E-6</c:v>
                </c:pt>
                <c:pt idx="4">
                  <c:v>7.2484779684398573E-6</c:v>
                </c:pt>
                <c:pt idx="5">
                  <c:v>2.5307914021436798E-5</c:v>
                </c:pt>
                <c:pt idx="6">
                  <c:v>6.9863512423884864E-5</c:v>
                </c:pt>
                <c:pt idx="7">
                  <c:v>3.9102322103039624E-4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0D-4AC5-B06B-08DFB7A6E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632944"/>
        <c:axId val="1763931824"/>
      </c:scatterChart>
      <c:valAx>
        <c:axId val="38063294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Deviatoric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931824"/>
        <c:crosses val="autoZero"/>
        <c:crossBetween val="midCat"/>
      </c:valAx>
      <c:valAx>
        <c:axId val="17639318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Plastic Rate (1/h)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6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106829</xdr:colOff>
      <xdr:row>5</xdr:row>
      <xdr:rowOff>49866</xdr:rowOff>
    </xdr:from>
    <xdr:to>
      <xdr:col>18</xdr:col>
      <xdr:colOff>431216</xdr:colOff>
      <xdr:row>9</xdr:row>
      <xdr:rowOff>83851</xdr:rowOff>
    </xdr:to>
    <xdr:pic>
      <xdr:nvPicPr>
        <xdr:cNvPr id="2" name="Picture 1" descr="A white background with black and white clouds&#10;&#10;AI-generated content may be incorrect.">
          <a:extLst>
            <a:ext uri="{FF2B5EF4-FFF2-40B4-BE49-F238E27FC236}">
              <a16:creationId xmlns:a16="http://schemas.microsoft.com/office/drawing/2014/main" id="{3B9FFFC1-C8D9-9DF6-488F-5E7A3A5D4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4241" y="983690"/>
          <a:ext cx="5837681" cy="781043"/>
        </a:xfrm>
        <a:prstGeom prst="rect">
          <a:avLst/>
        </a:prstGeom>
      </xdr:spPr>
    </xdr:pic>
    <xdr:clientData/>
  </xdr:twoCellAnchor>
  <xdr:twoCellAnchor>
    <xdr:from>
      <xdr:col>5</xdr:col>
      <xdr:colOff>318807</xdr:colOff>
      <xdr:row>16</xdr:row>
      <xdr:rowOff>27547</xdr:rowOff>
    </xdr:from>
    <xdr:to>
      <xdr:col>15</xdr:col>
      <xdr:colOff>14008</xdr:colOff>
      <xdr:row>37</xdr:row>
      <xdr:rowOff>92635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678AF1-B366-BFDB-4C0D-5876BF917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1</xdr:row>
      <xdr:rowOff>38101</xdr:rowOff>
    </xdr:from>
    <xdr:to>
      <xdr:col>15</xdr:col>
      <xdr:colOff>121437</xdr:colOff>
      <xdr:row>8</xdr:row>
      <xdr:rowOff>73769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DB0397-7331-E8A1-ED94-76BF4910A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0" y="219076"/>
          <a:ext cx="3550437" cy="13024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4</xdr:row>
      <xdr:rowOff>133350</xdr:rowOff>
    </xdr:from>
    <xdr:to>
      <xdr:col>14</xdr:col>
      <xdr:colOff>543630</xdr:colOff>
      <xdr:row>8</xdr:row>
      <xdr:rowOff>35013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3F8164-B9B8-01D6-E687-6C2185D14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9075" y="857250"/>
          <a:ext cx="5048955" cy="625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29"/>
  <sheetViews>
    <sheetView tabSelected="1" zoomScale="85" zoomScaleNormal="85" workbookViewId="0">
      <selection activeCell="Q24" sqref="Q24"/>
    </sheetView>
  </sheetViews>
  <sheetFormatPr defaultRowHeight="15" x14ac:dyDescent="0.25"/>
  <cols>
    <col min="1" max="1" width="20.85546875" customWidth="1"/>
    <col min="2" max="4" width="11.85546875" bestFit="1" customWidth="1"/>
  </cols>
  <sheetData>
    <row r="3" spans="1:4" x14ac:dyDescent="0.25">
      <c r="A3" t="s">
        <v>25</v>
      </c>
    </row>
    <row r="5" spans="1:4" x14ac:dyDescent="0.25">
      <c r="A5" t="s">
        <v>10</v>
      </c>
      <c r="B5" t="s">
        <v>0</v>
      </c>
      <c r="C5" t="s">
        <v>1</v>
      </c>
      <c r="D5" t="s">
        <v>19</v>
      </c>
    </row>
    <row r="6" spans="1:4" x14ac:dyDescent="0.25">
      <c r="A6" s="2">
        <v>6.03590858666605</v>
      </c>
      <c r="B6" s="1">
        <v>3.34208481563098E-7</v>
      </c>
      <c r="C6">
        <f>+B6/3600</f>
        <v>9.2835689323082774E-11</v>
      </c>
      <c r="D6">
        <f>+$B$22*(A6/$B$24)^$B$25</f>
        <v>3.5685339072165506E-7</v>
      </c>
    </row>
    <row r="7" spans="1:4" x14ac:dyDescent="0.25">
      <c r="A7" s="3">
        <v>8.0715388551660592</v>
      </c>
      <c r="B7" s="1">
        <v>7.4707197575822101E-7</v>
      </c>
      <c r="C7">
        <f t="shared" ref="C7:C13" si="0">+B7/3600</f>
        <v>2.0751999326617249E-10</v>
      </c>
      <c r="D7">
        <f>+$B$22*(A7/$B$24)^$B$25</f>
        <v>9.474751300036302E-7</v>
      </c>
    </row>
    <row r="8" spans="1:4" x14ac:dyDescent="0.25">
      <c r="A8" s="3">
        <v>9.0477143827209403</v>
      </c>
      <c r="B8" s="1">
        <v>1.03062443921871E-6</v>
      </c>
      <c r="C8">
        <f t="shared" si="0"/>
        <v>2.8628456644964166E-10</v>
      </c>
      <c r="D8">
        <f>+$B$22*(A8/$B$24)^$B$25</f>
        <v>1.3904813098184745E-6</v>
      </c>
    </row>
    <row r="9" spans="1:4" x14ac:dyDescent="0.25">
      <c r="A9" s="3">
        <v>9.9833313045617391</v>
      </c>
      <c r="B9">
        <v>1.9223957371358201E-6</v>
      </c>
      <c r="C9">
        <f t="shared" si="0"/>
        <v>5.3399881587106111E-10</v>
      </c>
      <c r="D9">
        <f>+$B$22*(A9/$B$24)^$B$26</f>
        <v>1.996070153781868E-6</v>
      </c>
    </row>
    <row r="10" spans="1:4" x14ac:dyDescent="0.25">
      <c r="A10" s="3">
        <v>11.842873110958701</v>
      </c>
      <c r="B10">
        <v>6.8243475330731002E-6</v>
      </c>
      <c r="C10">
        <f t="shared" si="0"/>
        <v>1.8956520925203058E-9</v>
      </c>
      <c r="D10">
        <f>+$B$22*(A10/$B$24)^$B$26</f>
        <v>7.2484779684398573E-6</v>
      </c>
    </row>
    <row r="11" spans="1:4" x14ac:dyDescent="0.25">
      <c r="A11" s="3">
        <v>13.9758704983716</v>
      </c>
      <c r="B11">
        <v>2.4470694106737799E-5</v>
      </c>
      <c r="C11">
        <f t="shared" si="0"/>
        <v>6.7974150296493886E-9</v>
      </c>
      <c r="D11">
        <f>+$B$22*(A11/$B$24)^$B$26</f>
        <v>2.5307914021436798E-5</v>
      </c>
    </row>
    <row r="12" spans="1:4" x14ac:dyDescent="0.25">
      <c r="A12" s="3">
        <v>15.987798933640301</v>
      </c>
      <c r="B12">
        <v>7.6995063607183205E-5</v>
      </c>
      <c r="C12">
        <f t="shared" si="0"/>
        <v>2.1387517668662001E-8</v>
      </c>
      <c r="D12">
        <f>+$B$22*(A12/$B$24)^$B$26</f>
        <v>6.9863512423884864E-5</v>
      </c>
    </row>
    <row r="13" spans="1:4" x14ac:dyDescent="0.25">
      <c r="A13" s="3">
        <v>20.084229967379201</v>
      </c>
      <c r="B13">
        <v>2.19084349139114E-4</v>
      </c>
      <c r="C13">
        <f t="shared" si="0"/>
        <v>6.0856763649753892E-8</v>
      </c>
      <c r="D13">
        <f>+$B$22*(A13/$B$24)^$B$26</f>
        <v>3.9102322103039624E-4</v>
      </c>
    </row>
    <row r="18" spans="1:3" x14ac:dyDescent="0.25">
      <c r="A18" t="s">
        <v>2</v>
      </c>
      <c r="B18">
        <v>86</v>
      </c>
      <c r="C18" t="s">
        <v>3</v>
      </c>
    </row>
    <row r="19" spans="1:3" x14ac:dyDescent="0.25">
      <c r="B19">
        <f>+B18+273</f>
        <v>359</v>
      </c>
      <c r="C19" t="s">
        <v>4</v>
      </c>
    </row>
    <row r="20" spans="1:3" x14ac:dyDescent="0.25">
      <c r="A20" t="s">
        <v>5</v>
      </c>
      <c r="B20">
        <v>8.3140000000000001</v>
      </c>
      <c r="C20" t="s">
        <v>16</v>
      </c>
    </row>
    <row r="21" spans="1:3" x14ac:dyDescent="0.25">
      <c r="A21" t="s">
        <v>6</v>
      </c>
      <c r="B21">
        <v>51600</v>
      </c>
    </row>
    <row r="22" spans="1:3" x14ac:dyDescent="0.25">
      <c r="A22" t="s">
        <v>7</v>
      </c>
      <c r="B22" s="1">
        <v>1.888E-6</v>
      </c>
      <c r="C22" t="s">
        <v>17</v>
      </c>
    </row>
    <row r="23" spans="1:3" x14ac:dyDescent="0.25">
      <c r="B23">
        <f>+B22/3600</f>
        <v>5.2444444444444446E-10</v>
      </c>
      <c r="C23" t="s">
        <v>18</v>
      </c>
    </row>
    <row r="24" spans="1:3" x14ac:dyDescent="0.25">
      <c r="A24" t="s">
        <v>8</v>
      </c>
      <c r="B24">
        <v>9.91</v>
      </c>
      <c r="C24" t="s">
        <v>9</v>
      </c>
    </row>
    <row r="25" spans="1:3" x14ac:dyDescent="0.25">
      <c r="A25" t="s">
        <v>12</v>
      </c>
      <c r="B25">
        <v>3.36</v>
      </c>
    </row>
    <row r="26" spans="1:3" x14ac:dyDescent="0.25">
      <c r="A26" t="s">
        <v>13</v>
      </c>
      <c r="B26">
        <v>7.55</v>
      </c>
    </row>
    <row r="28" spans="1:3" x14ac:dyDescent="0.25">
      <c r="A28" t="s">
        <v>14</v>
      </c>
      <c r="B28">
        <f>+EXP(-B21/B20/B19)</f>
        <v>3.10390711072731E-8</v>
      </c>
    </row>
    <row r="29" spans="1:3" x14ac:dyDescent="0.25">
      <c r="A29" s="4" t="s">
        <v>15</v>
      </c>
      <c r="B29" s="4">
        <f>+B23/B28</f>
        <v>1.689626737320616E-2</v>
      </c>
      <c r="C29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8D10-27D6-4E01-A3B3-5BE5A0860D35}">
  <dimension ref="A1:D9"/>
  <sheetViews>
    <sheetView workbookViewId="0">
      <selection activeCell="D2" sqref="D2"/>
    </sheetView>
  </sheetViews>
  <sheetFormatPr defaultRowHeight="15" x14ac:dyDescent="0.25"/>
  <sheetData>
    <row r="1" spans="1:4" x14ac:dyDescent="0.25">
      <c r="D1" t="s">
        <v>26</v>
      </c>
    </row>
    <row r="2" spans="1:4" x14ac:dyDescent="0.25">
      <c r="A2" t="s">
        <v>7</v>
      </c>
      <c r="B2" s="1">
        <v>8.1E-27</v>
      </c>
    </row>
    <row r="3" spans="1:4" x14ac:dyDescent="0.25">
      <c r="A3" t="s">
        <v>20</v>
      </c>
      <c r="B3">
        <v>3.5</v>
      </c>
    </row>
    <row r="4" spans="1:4" x14ac:dyDescent="0.25">
      <c r="A4" t="s">
        <v>6</v>
      </c>
      <c r="B4">
        <v>51600</v>
      </c>
    </row>
    <row r="6" spans="1:4" x14ac:dyDescent="0.25">
      <c r="A6" t="s">
        <v>21</v>
      </c>
    </row>
    <row r="7" spans="1:4" x14ac:dyDescent="0.25">
      <c r="A7" t="s">
        <v>22</v>
      </c>
      <c r="B7" s="1">
        <v>9910000</v>
      </c>
      <c r="C7" t="s">
        <v>23</v>
      </c>
    </row>
    <row r="9" spans="1:4" x14ac:dyDescent="0.25">
      <c r="A9" t="s">
        <v>15</v>
      </c>
      <c r="B9" s="1">
        <f>+B2*B7^B3</f>
        <v>2.4816630221705674E-2</v>
      </c>
      <c r="C9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364D-A0B1-47EF-B32D-80B6C62FEF8A}">
  <dimension ref="A1:C11"/>
  <sheetViews>
    <sheetView workbookViewId="0">
      <selection activeCell="A26" sqref="A26"/>
    </sheetView>
  </sheetViews>
  <sheetFormatPr defaultRowHeight="15" x14ac:dyDescent="0.25"/>
  <sheetData>
    <row r="1" spans="1:3" x14ac:dyDescent="0.25">
      <c r="A1" t="s">
        <v>27</v>
      </c>
    </row>
    <row r="5" spans="1:3" x14ac:dyDescent="0.25">
      <c r="A5" t="s">
        <v>7</v>
      </c>
      <c r="B5" s="1">
        <v>8.1000000000000004E-5</v>
      </c>
    </row>
    <row r="6" spans="1:3" x14ac:dyDescent="0.25">
      <c r="A6" t="s">
        <v>11</v>
      </c>
      <c r="B6">
        <v>3.4</v>
      </c>
    </row>
    <row r="8" spans="1:3" x14ac:dyDescent="0.25">
      <c r="A8" t="s">
        <v>24</v>
      </c>
    </row>
    <row r="9" spans="1:3" x14ac:dyDescent="0.25">
      <c r="A9" t="s">
        <v>8</v>
      </c>
      <c r="B9" s="1">
        <v>9.93</v>
      </c>
      <c r="C9" t="s">
        <v>9</v>
      </c>
    </row>
    <row r="11" spans="1:3" x14ac:dyDescent="0.25">
      <c r="A11" t="s">
        <v>15</v>
      </c>
      <c r="B11" s="1">
        <f>+B5*B9^B6</f>
        <v>0.19866092979001118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POIATE</vt:lpstr>
      <vt:lpstr>KUMAR</vt:lpstr>
      <vt:lpstr>CARTER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Poli</dc:creator>
  <cp:keywords/>
  <dc:description/>
  <cp:lastModifiedBy>Renato Poli</cp:lastModifiedBy>
  <cp:revision/>
  <dcterms:created xsi:type="dcterms:W3CDTF">2025-05-09T20:20:22Z</dcterms:created>
  <dcterms:modified xsi:type="dcterms:W3CDTF">2025-05-12T22:08:21Z</dcterms:modified>
  <cp:category/>
  <cp:contentStatus/>
</cp:coreProperties>
</file>